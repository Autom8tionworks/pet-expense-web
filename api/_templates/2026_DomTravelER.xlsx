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 Diem Rates" sheetId="1" state="visible" r:id="rId3"/>
    <sheet name="Dom. travel Exp Rpt" sheetId="2" state="visible" r:id="rId4"/>
  </sheets>
  <definedNames>
    <definedName function="false" hidden="false" localSheetId="1" name="_xlnm.Print_Area" vbProcedure="false">'Dom. travel Exp Rpt'!$A$1:$J$43</definedName>
    <definedName function="false" hidden="false" name="per_diem_rates" vbProcedure="false">'Per Diem Rates'!$C$5:$C$12</definedName>
    <definedName function="false" hidden="false" name="per_diem_type" vbProcedure="false">'Per Diem Rates'!$B$5:$B$12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<sst xmlns="http://schemas.openxmlformats.org/spreadsheetml/2006/main" count="59" uniqueCount="53">
  <si>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Per Diem Type</t>
  </si>
  <si>
    <t xml:space="preserve">Per Diem Rate</t>
  </si>
  <si>
    <t xml:space="preserve">No Per Diem</t>
  </si>
  <si>
    <t xml:space="preserve">Full Day</t>
  </si>
  <si>
    <t xml:space="preserve">Partial Day</t>
  </si>
  <si>
    <t xml:space="preserve">Full Day, Deduct 1 Meal</t>
  </si>
  <si>
    <t xml:space="preserve">Full Day, Deduct 2 Meals</t>
  </si>
  <si>
    <t xml:space="preserve">Partial Day, Deduct 1 Meal</t>
  </si>
  <si>
    <t xml:space="preserve">Partial Day, Deduct 2 Meals</t>
  </si>
  <si>
    <t xml:space="preserve">2026 DOMESTIC TRAVEL EXPENSE REPORT </t>
  </si>
  <si>
    <t xml:space="preserve">Employee Name:</t>
  </si>
  <si>
    <t xml:space="preserve">Customer Name and State:</t>
  </si>
  <si>
    <t xml:space="preserve">Customer billing
address:</t>
  </si>
  <si>
    <t xml:space="preserve">Customer P.O. no.:</t>
  </si>
  <si>
    <t xml:space="preserve">Customer Contact:</t>
  </si>
  <si>
    <t xml:space="preserve">PET Job no.:</t>
  </si>
  <si>
    <t xml:space="preserve">Overnight Travel</t>
  </si>
  <si>
    <t xml:space="preserve">Days Traveled</t>
  </si>
  <si>
    <t xml:space="preserve">Project Description:</t>
  </si>
  <si>
    <t xml:space="preserve">1 - USE OF PERSONAL CAR</t>
  </si>
  <si>
    <t xml:space="preserve">Date</t>
  </si>
  <si>
    <t xml:space="preserve">From</t>
  </si>
  <si>
    <t xml:space="preserve">To</t>
  </si>
  <si>
    <t xml:space="preserve">Miles</t>
  </si>
  <si>
    <t xml:space="preserve">Amount</t>
  </si>
  <si>
    <t xml:space="preserve">RT Daily Commute Mileage</t>
  </si>
  <si>
    <t xml:space="preserve"># of Days</t>
  </si>
  <si>
    <t xml:space="preserve">Mileage rate: </t>
  </si>
  <si>
    <t xml:space="preserve">per mile</t>
  </si>
  <si>
    <t xml:space="preserve">TOTALS</t>
  </si>
  <si>
    <t xml:space="preserve">2 - TRAVEL EXPENSES</t>
  </si>
  <si>
    <t xml:space="preserve">Per Diem Schedule</t>
  </si>
  <si>
    <t xml:space="preserve">Meals</t>
  </si>
  <si>
    <t xml:space="preserve">Airfare</t>
  </si>
  <si>
    <t xml:space="preserve">Ground Transport.</t>
  </si>
  <si>
    <t xml:space="preserve">Car rental / Gasoline</t>
  </si>
  <si>
    <t xml:space="preserve">Lodging</t>
  </si>
  <si>
    <t xml:space="preserve">Telephone / FAX</t>
  </si>
  <si>
    <t xml:space="preserve">Parking</t>
  </si>
  <si>
    <t xml:space="preserve">Misc. Expenses</t>
  </si>
  <si>
    <t xml:space="preserve">Attach All Receipts</t>
  </si>
  <si>
    <t xml:space="preserve">GRAND TOTAL</t>
  </si>
  <si>
    <t xml:space="preserve">TO BE COMPLETED BY EMPLOYEE</t>
  </si>
  <si>
    <t xml:space="preserve">The above expenses are true and correct and were incurred as business expenses for PET Systems, LLC</t>
  </si>
  <si>
    <t xml:space="preserve">Total Section 1</t>
  </si>
  <si>
    <t xml:space="preserve">Total Section 2</t>
  </si>
  <si>
    <t xml:space="preserve">Total Section 3</t>
  </si>
  <si>
    <t xml:space="preserve">Employee signature</t>
  </si>
  <si>
    <t xml:space="preserve">3 - AMOUNT DUE TO EMPLOYEE  (1 + 2 + 3)</t>
  </si>
  <si>
    <t xml:space="preserve">Approval</t>
  </si>
  <si>
    <t xml:space="preserve">MISCELLANEOUS EXPENSES</t>
  </si>
  <si>
    <t xml:space="preserve">Description</t>
  </si>
  <si>
    <t xml:space="preserve">Comments: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</si>
</sst>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.00_);_(\$* \(#,##0.00\);_(\$* \-??_);_(@_)"/>
    <numFmt numFmtId="166" formatCode="d\-mmm\-yy"/>
    <numFmt numFmtId="167" formatCode="General"/>
    <numFmt numFmtId="168" formatCode="_(* #,##0.00_);_(* \(#,##0.00\);_(* \-??_);_(@_)"/>
    <numFmt numFmtId="169" formatCode="0.00"/>
    <numFmt numFmtId="170" formatCode="\$#,##0.00"/>
    <numFmt numFmtId="171" formatCode="m/d/yyyy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3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b val="true"/>
      <i val="true"/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9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8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double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double"/>
      <right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double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double"/>
      <top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29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4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3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162000</xdr:colOff>
      <xdr:row>0</xdr:row>
      <xdr:rowOff>66600</xdr:rowOff>
    </xdr:from>
    <xdr:to>
      <xdr:col>9</xdr:col>
      <xdr:colOff>624240</xdr:colOff>
      <xdr:row>1</xdr:row>
      <xdr:rowOff>244800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365960" y="66600"/>
          <a:ext cx="1237680" cy="559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3.67"/>
    <col collapsed="false" customWidth="true" hidden="false" outlineLevel="0" max="3" min="3" style="1" width="14.33"/>
  </cols>
  <sheetData>
    <row r="4" customFormat="false" ht="12.75" hidden="false" customHeight="true" outlineLevel="0" collapsed="false">
      <c r="B4" s="2" t="s">
        <v>0</v>
      </c>
      <c r="C4" s="2" t="s">
        <v>1</v>
      </c>
    </row>
    <row r="5" customFormat="false" ht="12.75" hidden="false" customHeight="true" outlineLevel="0" collapsed="false">
      <c r="C5" s="3" t="n">
        <v>0</v>
      </c>
    </row>
    <row r="6" customFormat="false" ht="12.75" hidden="false" customHeight="true" outlineLevel="0" collapsed="false">
      <c r="B6" s="1" t="s">
        <v>2</v>
      </c>
      <c r="C6" s="3" t="n">
        <v>0</v>
      </c>
    </row>
    <row r="7" customFormat="false" ht="12.75" hidden="false" customHeight="true" outlineLevel="0" collapsed="false">
      <c r="B7" s="1" t="s">
        <v>3</v>
      </c>
      <c r="C7" s="3" t="n">
        <v>68</v>
      </c>
    </row>
    <row r="8" customFormat="false" ht="12.75" hidden="false" customHeight="true" outlineLevel="0" collapsed="false">
      <c r="B8" s="1" t="s">
        <v>4</v>
      </c>
      <c r="C8" s="3" t="n">
        <v>68</v>
      </c>
    </row>
    <row r="9" customFormat="false" ht="12.75" hidden="false" customHeight="true" outlineLevel="0" collapsed="false">
      <c r="B9" s="1" t="s">
        <v>5</v>
      </c>
      <c r="C9" s="3" t="n">
        <f aca="false">68-22</f>
        <v>46</v>
      </c>
    </row>
    <row r="10" customFormat="false" ht="12.75" hidden="false" customHeight="true" outlineLevel="0" collapsed="false">
      <c r="B10" s="1" t="s">
        <v>6</v>
      </c>
      <c r="C10" s="3" t="n">
        <f aca="false">68-22-22</f>
        <v>24</v>
      </c>
    </row>
    <row r="11" customFormat="false" ht="12.75" hidden="false" customHeight="true" outlineLevel="0" collapsed="false">
      <c r="B11" s="1" t="s">
        <v>7</v>
      </c>
      <c r="C11" s="3" t="n">
        <f aca="false">68-22</f>
        <v>46</v>
      </c>
    </row>
    <row r="12" customFormat="false" ht="12.75" hidden="false" customHeight="true" outlineLevel="0" collapsed="false">
      <c r="B12" s="1" t="s">
        <v>8</v>
      </c>
      <c r="C12" s="3" t="n">
        <f aca="false">68-22-22</f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6.44"/>
    <col collapsed="false" customWidth="true" hidden="false" outlineLevel="0" max="2" min="2" style="1" width="19.33"/>
    <col collapsed="false" customWidth="true" hidden="false" outlineLevel="0" max="3" min="3" style="1" width="10.56"/>
    <col collapsed="false" customWidth="true" hidden="false" outlineLevel="0" max="4" min="4" style="1" width="10.66"/>
    <col collapsed="false" customWidth="true" hidden="false" outlineLevel="0" max="5" min="5" style="1" width="11.33"/>
    <col collapsed="false" customWidth="true" hidden="false" outlineLevel="0" max="6" min="6" style="1" width="11.11"/>
    <col collapsed="false" customWidth="true" hidden="false" outlineLevel="0" max="7" min="7" style="1" width="11.67"/>
    <col collapsed="false" customWidth="true" hidden="false" outlineLevel="0" max="8" min="8" style="1" width="11.11"/>
    <col collapsed="false" customWidth="true" hidden="false" outlineLevel="0" max="9" min="9" style="1" width="11"/>
    <col collapsed="false" customWidth="true" hidden="false" outlineLevel="0" max="10" min="10" style="1" width="12.56"/>
    <col collapsed="false" customWidth="true" hidden="false" outlineLevel="0" max="11" min="11" style="1" width="9.11"/>
  </cols>
  <sheetData>
    <row r="1" customFormat="false" ht="30" hidden="false" customHeight="true" outlineLevel="0" collapsed="false"/>
    <row r="2" customFormat="false" ht="24" hidden="false" customHeight="true" outlineLevel="0" collapsed="false">
      <c r="A2" s="4" t="s">
        <v>9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5.75" hidden="false" customHeight="true" outlineLevel="0" collapsed="false">
      <c r="A3" s="5" t="s">
        <v>10</v>
      </c>
      <c r="B3" s="6"/>
      <c r="C3" s="6"/>
      <c r="D3" s="6"/>
      <c r="E3" s="7" t="s">
        <v>11</v>
      </c>
      <c r="F3" s="7"/>
      <c r="G3" s="8"/>
      <c r="H3" s="8"/>
      <c r="I3" s="8"/>
      <c r="J3" s="8"/>
    </row>
    <row r="4" customFormat="false" ht="31.5" hidden="false" customHeight="true" outlineLevel="0" collapsed="false">
      <c r="A4" s="5" t="s">
        <v>12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.75" hidden="false" customHeight="true" outlineLevel="0" collapsed="false">
      <c r="A5" s="10" t="s">
        <v>13</v>
      </c>
      <c r="B5" s="9"/>
      <c r="C5" s="9"/>
      <c r="D5" s="9"/>
      <c r="E5" s="9"/>
      <c r="F5" s="11" t="s">
        <v>14</v>
      </c>
      <c r="G5" s="11"/>
      <c r="H5" s="12"/>
      <c r="I5" s="12"/>
      <c r="J5" s="12"/>
    </row>
    <row r="6" customFormat="false" ht="15.75" hidden="false" customHeight="true" outlineLevel="0" collapsed="false">
      <c r="A6" s="10" t="s">
        <v>15</v>
      </c>
      <c r="B6" s="13"/>
      <c r="C6" s="13"/>
      <c r="D6" s="13"/>
      <c r="E6" s="11" t="s">
        <v>16</v>
      </c>
      <c r="F6" s="11"/>
      <c r="G6" s="14"/>
      <c r="H6" s="11" t="s">
        <v>17</v>
      </c>
      <c r="I6" s="11"/>
      <c r="J6" s="15"/>
    </row>
    <row r="7" customFormat="false" ht="15.75" hidden="false" customHeight="true" outlineLevel="0" collapsed="false">
      <c r="A7" s="5" t="s">
        <v>18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15.75" hidden="false" customHeight="true" outlineLevel="0" collapsed="false">
      <c r="A8" s="17" t="s">
        <v>19</v>
      </c>
      <c r="B8" s="17"/>
      <c r="C8" s="17"/>
      <c r="D8" s="17"/>
      <c r="E8" s="17"/>
      <c r="F8" s="17"/>
      <c r="G8" s="17"/>
      <c r="H8" s="17"/>
      <c r="I8" s="17"/>
      <c r="J8" s="17"/>
    </row>
    <row r="9" s="21" customFormat="true" ht="15.75" hidden="false" customHeight="true" outlineLevel="0" collapsed="false">
      <c r="A9" s="18" t="s">
        <v>20</v>
      </c>
      <c r="B9" s="18"/>
      <c r="C9" s="19" t="s">
        <v>21</v>
      </c>
      <c r="D9" s="19"/>
      <c r="E9" s="19"/>
      <c r="F9" s="19" t="s">
        <v>22</v>
      </c>
      <c r="G9" s="19"/>
      <c r="H9" s="19"/>
      <c r="I9" s="19" t="s">
        <v>23</v>
      </c>
      <c r="J9" s="20" t="s">
        <v>24</v>
      </c>
    </row>
    <row r="10" customFormat="false" ht="15.75" hidden="false" customHeight="true" outlineLevel="0" collapsed="false">
      <c r="A10" s="22"/>
      <c r="B10" s="22"/>
      <c r="C10" s="23"/>
      <c r="D10" s="23"/>
      <c r="E10" s="23"/>
      <c r="F10" s="23"/>
      <c r="G10" s="23"/>
      <c r="H10" s="23"/>
      <c r="I10" s="24"/>
      <c r="J10" s="25" t="n">
        <f aca="false">I10*$B$14</f>
        <v>0</v>
      </c>
    </row>
    <row r="11" customFormat="false" ht="15.75" hidden="false" customHeight="true" outlineLevel="0" collapsed="false">
      <c r="A11" s="22"/>
      <c r="B11" s="22"/>
      <c r="C11" s="23"/>
      <c r="D11" s="23"/>
      <c r="E11" s="23"/>
      <c r="F11" s="23"/>
      <c r="G11" s="23"/>
      <c r="H11" s="23"/>
      <c r="I11" s="24"/>
      <c r="J11" s="25" t="n">
        <f aca="false">I11*$B$14</f>
        <v>0</v>
      </c>
    </row>
    <row r="12" customFormat="false" ht="15.75" hidden="false" customHeight="true" outlineLevel="0" collapsed="false">
      <c r="A12" s="22"/>
      <c r="B12" s="22"/>
      <c r="C12" s="26" t="s">
        <v>25</v>
      </c>
      <c r="D12" s="27"/>
      <c r="E12" s="26"/>
      <c r="F12" s="26" t="s">
        <v>26</v>
      </c>
      <c r="G12" s="28"/>
      <c r="H12" s="23"/>
      <c r="I12" s="29" t="n">
        <f aca="false">+E12*H12</f>
        <v>0</v>
      </c>
      <c r="J12" s="30" t="n">
        <f aca="false">-I12*$B$14</f>
        <v>-0</v>
      </c>
    </row>
    <row r="13" customFormat="false" ht="15.75" hidden="false" customHeight="true" outlineLevel="0" collapsed="false">
      <c r="A13" s="22"/>
      <c r="B13" s="22"/>
      <c r="C13" s="31"/>
      <c r="D13" s="28"/>
      <c r="E13" s="32"/>
      <c r="F13" s="31"/>
      <c r="G13" s="32"/>
      <c r="H13" s="33"/>
      <c r="I13" s="29"/>
      <c r="J13" s="30"/>
    </row>
    <row r="14" customFormat="false" ht="15.75" hidden="false" customHeight="true" outlineLevel="0" collapsed="false">
      <c r="A14" s="34" t="s">
        <v>27</v>
      </c>
      <c r="B14" s="35" t="n">
        <v>0.68</v>
      </c>
      <c r="C14" s="36" t="s">
        <v>28</v>
      </c>
      <c r="D14" s="36"/>
      <c r="E14" s="36"/>
      <c r="F14" s="37"/>
      <c r="G14" s="37"/>
      <c r="H14" s="38" t="s">
        <v>29</v>
      </c>
      <c r="I14" s="39" t="n">
        <f aca="false">SUM(I10:I11)-I12</f>
        <v>0</v>
      </c>
      <c r="J14" s="40" t="n">
        <f aca="false">+SUM(J10:J12)</f>
        <v>0</v>
      </c>
    </row>
    <row r="15" customFormat="false" ht="15.75" hidden="false" customHeight="true" outlineLevel="0" collapsed="false">
      <c r="A15" s="17" t="s">
        <v>30</v>
      </c>
      <c r="B15" s="17"/>
      <c r="C15" s="17"/>
      <c r="D15" s="17"/>
      <c r="E15" s="17"/>
      <c r="F15" s="17"/>
      <c r="G15" s="17"/>
      <c r="H15" s="17"/>
      <c r="I15" s="17"/>
      <c r="J15" s="17"/>
    </row>
    <row r="16" s="21" customFormat="true" ht="27.75" hidden="false" customHeight="true" outlineLevel="0" collapsed="false">
      <c r="A16" s="41" t="s">
        <v>20</v>
      </c>
      <c r="B16" s="42" t="s">
        <v>31</v>
      </c>
      <c r="C16" s="42" t="s">
        <v>32</v>
      </c>
      <c r="D16" s="42" t="s">
        <v>33</v>
      </c>
      <c r="E16" s="42" t="s">
        <v>34</v>
      </c>
      <c r="F16" s="42" t="s">
        <v>35</v>
      </c>
      <c r="G16" s="42" t="s">
        <v>36</v>
      </c>
      <c r="H16" s="42" t="s">
        <v>37</v>
      </c>
      <c r="I16" s="42" t="s">
        <v>38</v>
      </c>
      <c r="J16" s="43" t="s">
        <v>39</v>
      </c>
    </row>
    <row r="17" customFormat="false" ht="15.75" hidden="false" customHeight="true" outlineLevel="0" collapsed="false">
      <c r="A17" s="22" t="n">
        <v>45778</v>
      </c>
      <c r="B17" s="44" t="s">
        <v>3</v>
      </c>
      <c r="C17" s="45" t="n">
        <f aca="false">IFERROR(INDEX(per_diem_rates,MATCH(B17,per_diem_type,0)),0)</f>
        <v>68</v>
      </c>
      <c r="D17" s="46"/>
      <c r="E17" s="46"/>
      <c r="F17" s="45"/>
      <c r="G17" s="46"/>
      <c r="H17" s="46"/>
      <c r="I17" s="46"/>
      <c r="J17" s="47"/>
    </row>
    <row r="18" customFormat="false" ht="15.75" hidden="false" customHeight="true" outlineLevel="0" collapsed="false">
      <c r="A18" s="22" t="n">
        <v>45779</v>
      </c>
      <c r="B18" s="44"/>
      <c r="C18" s="45" t="n">
        <f aca="false">IFERROR(INDEX(per_diem_rates,MATCH(B18,per_diem_type,0)),0)</f>
        <v>0</v>
      </c>
      <c r="D18" s="48"/>
      <c r="E18" s="49"/>
      <c r="F18" s="50"/>
      <c r="G18" s="49"/>
      <c r="H18" s="51"/>
      <c r="I18" s="49"/>
      <c r="J18" s="52"/>
    </row>
    <row r="19" customFormat="false" ht="15.75" hidden="false" customHeight="true" outlineLevel="0" collapsed="false">
      <c r="A19" s="22"/>
      <c r="B19" s="44"/>
      <c r="C19" s="45" t="n">
        <f aca="false">IFERROR(INDEX(per_diem_rates,MATCH(B19,per_diem_type,0)),0)</f>
        <v>0</v>
      </c>
      <c r="D19" s="49"/>
      <c r="E19" s="49"/>
      <c r="F19" s="49"/>
      <c r="G19" s="49"/>
      <c r="H19" s="49"/>
      <c r="I19" s="49"/>
      <c r="J19" s="52"/>
    </row>
    <row r="20" customFormat="false" ht="15.75" hidden="false" customHeight="true" outlineLevel="0" collapsed="false">
      <c r="A20" s="22"/>
      <c r="B20" s="44"/>
      <c r="C20" s="45" t="n">
        <f aca="false">IFERROR(INDEX(per_diem_rates,MATCH(B20,per_diem_type,0)),0)</f>
        <v>0</v>
      </c>
      <c r="D20" s="49"/>
      <c r="E20" s="49"/>
      <c r="F20" s="53"/>
      <c r="G20" s="49"/>
      <c r="H20" s="49"/>
      <c r="I20" s="49"/>
      <c r="J20" s="52"/>
    </row>
    <row r="21" customFormat="false" ht="15.75" hidden="false" customHeight="true" outlineLevel="0" collapsed="false">
      <c r="A21" s="22"/>
      <c r="B21" s="44"/>
      <c r="C21" s="45" t="n">
        <f aca="false">IFERROR(INDEX(per_diem_rates,MATCH(B21,per_diem_type,0)),0)</f>
        <v>0</v>
      </c>
      <c r="D21" s="49"/>
      <c r="E21" s="49"/>
      <c r="F21" s="49"/>
      <c r="G21" s="49"/>
      <c r="H21" s="49"/>
      <c r="I21" s="49"/>
      <c r="J21" s="52"/>
    </row>
    <row r="22" customFormat="false" ht="15.75" hidden="false" customHeight="true" outlineLevel="0" collapsed="false">
      <c r="A22" s="22"/>
      <c r="B22" s="44"/>
      <c r="C22" s="45" t="n">
        <f aca="false">IFERROR(INDEX(per_diem_rates,MATCH(B22,per_diem_type,0)),0)</f>
        <v>0</v>
      </c>
      <c r="D22" s="49"/>
      <c r="E22" s="49"/>
      <c r="F22" s="49"/>
      <c r="G22" s="49"/>
      <c r="H22" s="49"/>
      <c r="I22" s="49"/>
      <c r="J22" s="52"/>
    </row>
    <row r="23" customFormat="false" ht="15.75" hidden="false" customHeight="true" outlineLevel="0" collapsed="false">
      <c r="A23" s="54"/>
      <c r="B23" s="44"/>
      <c r="C23" s="45" t="n">
        <f aca="false">IFERROR(INDEX(per_diem_rates,MATCH(B23,per_diem_type,0)),0)</f>
        <v>0</v>
      </c>
      <c r="D23" s="49"/>
      <c r="E23" s="49"/>
      <c r="F23" s="49"/>
      <c r="G23" s="49"/>
      <c r="H23" s="49"/>
      <c r="I23" s="49"/>
      <c r="J23" s="52"/>
    </row>
    <row r="24" customFormat="false" ht="15.75" hidden="false" customHeight="true" outlineLevel="0" collapsed="false">
      <c r="A24" s="54"/>
      <c r="B24" s="44"/>
      <c r="C24" s="45" t="n">
        <f aca="false">IFERROR(INDEX(per_diem_rates,MATCH(B24,per_diem_type,0)),0)</f>
        <v>0</v>
      </c>
      <c r="D24" s="49"/>
      <c r="E24" s="49"/>
      <c r="F24" s="49"/>
      <c r="G24" s="49"/>
      <c r="H24" s="49"/>
      <c r="I24" s="49"/>
      <c r="J24" s="52"/>
    </row>
    <row r="25" customFormat="false" ht="15.75" hidden="false" customHeight="true" outlineLevel="0" collapsed="false">
      <c r="A25" s="54"/>
      <c r="B25" s="44"/>
      <c r="C25" s="45" t="n">
        <f aca="false">IFERROR(INDEX(per_diem_rates,MATCH(B25,per_diem_type,0)),0)</f>
        <v>0</v>
      </c>
      <c r="D25" s="49"/>
      <c r="E25" s="49"/>
      <c r="F25" s="49"/>
      <c r="G25" s="49"/>
      <c r="H25" s="49"/>
      <c r="I25" s="49"/>
      <c r="J25" s="52"/>
    </row>
    <row r="26" customFormat="false" ht="15.75" hidden="false" customHeight="true" outlineLevel="0" collapsed="false">
      <c r="A26" s="55"/>
      <c r="B26" s="44"/>
      <c r="C26" s="45" t="n">
        <f aca="false">IFERROR(INDEX(per_diem_rates,MATCH(B26,per_diem_type,0)),0)</f>
        <v>0</v>
      </c>
      <c r="D26" s="49"/>
      <c r="E26" s="49"/>
      <c r="F26" s="49"/>
      <c r="G26" s="49"/>
      <c r="H26" s="49"/>
      <c r="I26" s="49"/>
      <c r="J26" s="52"/>
    </row>
    <row r="27" customFormat="false" ht="15.75" hidden="false" customHeight="true" outlineLevel="0" collapsed="false">
      <c r="A27" s="55"/>
      <c r="B27" s="46" t="s">
        <v>29</v>
      </c>
      <c r="C27" s="46" t="n">
        <f aca="false">SUM(C17:C26)</f>
        <v>68</v>
      </c>
      <c r="D27" s="46" t="n">
        <f aca="false">SUM(D17:D26)</f>
        <v>0</v>
      </c>
      <c r="E27" s="46" t="n">
        <f aca="false">SUM(E17:E26)</f>
        <v>0</v>
      </c>
      <c r="F27" s="46" t="n">
        <f aca="false">SUM(F17:F26)</f>
        <v>0</v>
      </c>
      <c r="G27" s="46" t="n">
        <f aca="false">SUM(G17:G26)</f>
        <v>0</v>
      </c>
      <c r="H27" s="46" t="n">
        <f aca="false">SUM(H17:H26)</f>
        <v>0</v>
      </c>
      <c r="I27" s="46" t="n">
        <f aca="false">SUM(I17:I26)</f>
        <v>0</v>
      </c>
      <c r="J27" s="47" t="n">
        <f aca="false">SUM(J17:J26)</f>
        <v>0</v>
      </c>
    </row>
    <row r="28" customFormat="false" ht="15.75" hidden="false" customHeight="true" outlineLevel="0" collapsed="false">
      <c r="A28" s="56" t="s">
        <v>40</v>
      </c>
      <c r="B28" s="56"/>
      <c r="C28" s="56"/>
      <c r="D28" s="56"/>
      <c r="E28" s="56"/>
      <c r="F28" s="56"/>
      <c r="G28" s="56"/>
      <c r="H28" s="57" t="s">
        <v>41</v>
      </c>
      <c r="I28" s="57"/>
      <c r="J28" s="58" t="n">
        <f aca="false">SUM(C27:J27)</f>
        <v>68</v>
      </c>
    </row>
    <row r="29" customFormat="false" ht="15.75" hidden="false" customHeight="true" outlineLevel="0" collapsed="false">
      <c r="A29" s="59" t="s">
        <v>42</v>
      </c>
      <c r="B29" s="59"/>
      <c r="C29" s="59"/>
      <c r="D29" s="59"/>
      <c r="E29" s="59"/>
      <c r="F29" s="59"/>
      <c r="G29" s="60" t="s">
        <v>43</v>
      </c>
      <c r="H29" s="60"/>
      <c r="I29" s="60"/>
      <c r="J29" s="60"/>
    </row>
    <row r="30" customFormat="false" ht="15.75" hidden="false" customHeight="true" outlineLevel="0" collapsed="false">
      <c r="A30" s="61" t="s">
        <v>44</v>
      </c>
      <c r="B30" s="62"/>
      <c r="C30" s="62"/>
      <c r="D30" s="62"/>
      <c r="E30" s="62"/>
      <c r="F30" s="63" t="n">
        <f aca="false">J14</f>
        <v>0</v>
      </c>
      <c r="G30" s="60"/>
      <c r="H30" s="60"/>
      <c r="I30" s="60"/>
      <c r="J30" s="60"/>
    </row>
    <row r="31" customFormat="false" ht="15.75" hidden="false" customHeight="true" outlineLevel="0" collapsed="false">
      <c r="A31" s="64" t="s">
        <v>45</v>
      </c>
      <c r="B31" s="62"/>
      <c r="C31" s="62"/>
      <c r="D31" s="62"/>
      <c r="E31" s="62"/>
      <c r="F31" s="65" t="n">
        <f aca="false">J28</f>
        <v>68</v>
      </c>
      <c r="G31" s="60"/>
      <c r="H31" s="60"/>
      <c r="I31" s="60"/>
      <c r="J31" s="60"/>
    </row>
    <row r="32" customFormat="false" ht="15.75" hidden="false" customHeight="true" outlineLevel="0" collapsed="false">
      <c r="A32" s="64" t="s">
        <v>46</v>
      </c>
      <c r="B32" s="62"/>
      <c r="C32" s="62"/>
      <c r="D32" s="62"/>
      <c r="E32" s="62"/>
      <c r="F32" s="65" t="n">
        <f aca="false">J40</f>
        <v>0</v>
      </c>
      <c r="G32" s="60"/>
      <c r="H32" s="60"/>
      <c r="I32" s="60"/>
      <c r="J32" s="60"/>
    </row>
    <row r="33" customFormat="false" ht="15.75" hidden="false" customHeight="true" outlineLevel="0" collapsed="false">
      <c r="A33" s="66"/>
      <c r="B33" s="66"/>
      <c r="C33" s="66"/>
      <c r="D33" s="66"/>
      <c r="E33" s="66"/>
      <c r="F33" s="67"/>
      <c r="G33" s="68" t="s">
        <v>47</v>
      </c>
      <c r="H33" s="68"/>
      <c r="I33" s="68"/>
      <c r="J33" s="68"/>
    </row>
    <row r="34" customFormat="false" ht="15.75" hidden="false" customHeight="true" outlineLevel="0" collapsed="false">
      <c r="A34" s="69" t="s">
        <v>48</v>
      </c>
      <c r="B34" s="2"/>
      <c r="C34" s="2"/>
      <c r="D34" s="2"/>
      <c r="E34" s="2"/>
      <c r="F34" s="70" t="n">
        <f aca="false">SUM(F30:F32)</f>
        <v>68</v>
      </c>
      <c r="G34" s="71"/>
      <c r="H34" s="71"/>
      <c r="I34" s="71"/>
      <c r="J34" s="71"/>
    </row>
    <row r="35" customFormat="false" ht="15.75" hidden="false" customHeight="true" outlineLevel="0" collapsed="false">
      <c r="A35" s="72"/>
      <c r="B35" s="72"/>
      <c r="C35" s="72"/>
      <c r="D35" s="72"/>
      <c r="E35" s="72"/>
      <c r="F35" s="73"/>
      <c r="G35" s="74" t="s">
        <v>49</v>
      </c>
      <c r="H35" s="74"/>
      <c r="I35" s="74"/>
      <c r="J35" s="74"/>
    </row>
    <row r="36" customFormat="false" ht="15.75" hidden="false" customHeight="true" outlineLevel="0" collapsed="false">
      <c r="A36" s="17" t="s">
        <v>50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.75" hidden="false" customHeight="true" outlineLevel="0" collapsed="false">
      <c r="A37" s="75" t="s">
        <v>20</v>
      </c>
      <c r="B37" s="76"/>
      <c r="C37" s="19" t="s">
        <v>51</v>
      </c>
      <c r="D37" s="19"/>
      <c r="E37" s="19"/>
      <c r="F37" s="19"/>
      <c r="G37" s="19"/>
      <c r="H37" s="19"/>
      <c r="I37" s="19"/>
      <c r="J37" s="20" t="s">
        <v>24</v>
      </c>
    </row>
    <row r="38" customFormat="false" ht="15.75" hidden="false" customHeight="true" outlineLevel="0" collapsed="false">
      <c r="A38" s="77"/>
      <c r="B38" s="78"/>
      <c r="C38" s="79"/>
      <c r="D38" s="79"/>
      <c r="E38" s="79"/>
      <c r="F38" s="79"/>
      <c r="G38" s="79"/>
      <c r="H38" s="79"/>
      <c r="I38" s="79"/>
      <c r="J38" s="80"/>
    </row>
    <row r="39" customFormat="false" ht="15.75" hidden="false" customHeight="true" outlineLevel="0" collapsed="false">
      <c r="A39" s="81"/>
      <c r="B39" s="82"/>
      <c r="C39" s="79"/>
      <c r="D39" s="79"/>
      <c r="E39" s="79"/>
      <c r="F39" s="79"/>
      <c r="G39" s="79"/>
      <c r="H39" s="79"/>
      <c r="I39" s="79"/>
      <c r="J39" s="83"/>
    </row>
    <row r="40" customFormat="false" ht="15.75" hidden="false" customHeight="true" outlineLevel="0" collapsed="false">
      <c r="A40" s="84"/>
      <c r="B40" s="46" t="s">
        <v>29</v>
      </c>
      <c r="C40" s="79"/>
      <c r="J40" s="47" t="n">
        <f aca="false">SUM(J38:J39)</f>
        <v>0</v>
      </c>
    </row>
    <row r="41" customFormat="false" ht="15.75" hidden="false" customHeight="true" outlineLevel="0" collapsed="false">
      <c r="A41" s="85" t="s">
        <v>52</v>
      </c>
      <c r="B41" s="86"/>
      <c r="C41" s="86"/>
      <c r="D41" s="86"/>
      <c r="E41" s="86"/>
      <c r="F41" s="86"/>
      <c r="G41" s="86"/>
      <c r="H41" s="86"/>
      <c r="I41" s="86"/>
      <c r="J41" s="87"/>
    </row>
    <row r="42" customFormat="false" ht="15.75" hidden="false" customHeight="true" outlineLevel="0" collapsed="false">
      <c r="A42" s="72"/>
      <c r="B42" s="88"/>
      <c r="C42" s="88"/>
      <c r="D42" s="88"/>
      <c r="E42" s="88"/>
      <c r="F42" s="88"/>
      <c r="G42" s="88"/>
      <c r="H42" s="88"/>
      <c r="I42" s="88"/>
      <c r="J42" s="89"/>
    </row>
    <row r="43" customFormat="false" ht="13.5" hidden="false" customHeight="true" outlineLevel="0" collapsed="false"/>
  </sheetData>
  <mergeCells count="41">
    <mergeCell ref="A2:J2"/>
    <mergeCell ref="B3:D3"/>
    <mergeCell ref="E3:F3"/>
    <mergeCell ref="G3:J3"/>
    <mergeCell ref="B4:J4"/>
    <mergeCell ref="B5:E5"/>
    <mergeCell ref="F5:G5"/>
    <mergeCell ref="H5:J5"/>
    <mergeCell ref="B6:D6"/>
    <mergeCell ref="E6:F6"/>
    <mergeCell ref="H6:I6"/>
    <mergeCell ref="B7:J7"/>
    <mergeCell ref="A8:J8"/>
    <mergeCell ref="A9:B9"/>
    <mergeCell ref="C9:E9"/>
    <mergeCell ref="F9:H9"/>
    <mergeCell ref="A10:B10"/>
    <mergeCell ref="C10:E10"/>
    <mergeCell ref="F10:H10"/>
    <mergeCell ref="A11:B11"/>
    <mergeCell ref="C11:E11"/>
    <mergeCell ref="F11:H11"/>
    <mergeCell ref="A12:B12"/>
    <mergeCell ref="A13:B13"/>
    <mergeCell ref="A15:J15"/>
    <mergeCell ref="A28:G28"/>
    <mergeCell ref="H28:I28"/>
    <mergeCell ref="A29:F29"/>
    <mergeCell ref="G29:J32"/>
    <mergeCell ref="B30:E30"/>
    <mergeCell ref="B31:E31"/>
    <mergeCell ref="B32:E32"/>
    <mergeCell ref="A33:E33"/>
    <mergeCell ref="G33:J33"/>
    <mergeCell ref="G34:J34"/>
    <mergeCell ref="A35:E35"/>
    <mergeCell ref="G35:J35"/>
    <mergeCell ref="A36:J36"/>
    <mergeCell ref="C37:I37"/>
    <mergeCell ref="C38:I38"/>
    <mergeCell ref="C39:I39"/>
  </mergeCells>
  <dataValidations count="1">
    <dataValidation allowBlank="true" errorStyle="stop" operator="between" showDropDown="false" showErrorMessage="true" showInputMessage="true" sqref="B17:B26" type="list">
      <formula1>per_diem_type</formula1>
      <formula2>0</formula2>
    </dataValidation>
  </dataValidations>
  <printOptions headings="false" gridLines="false" gridLinesSet="true" horizontalCentered="true" verticalCentered="false"/>
  <pageMargins left="0.25" right="0.2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2000-08-16T13:07:50Z</dcterms:created>
  <dc:creator>Gary J. Fickel</dc:creator>
  <dc:description/>
  <dc:language>en-US</dc:language>
  <cp:lastModifiedBy>Carrie Scruggs</cp:lastModifiedBy>
  <cp:lastPrinted>2021-09-10T13:58:52Z</cp:lastPrinted>
  <dcterms:modified xsi:type="dcterms:W3CDTF">2026-06-20T15:25:18Z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